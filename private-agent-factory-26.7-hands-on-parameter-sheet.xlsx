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oracle-my.sharepoint.com/personal/yuji_arakawa_oracle_com/Documents/ドキュメント/projects/オリックス/ハンズオン準備/"/>
    </mc:Choice>
  </mc:AlternateContent>
  <xr:revisionPtr revIDLastSave="38" documentId="8_{B081839A-85BF-4445-9C6F-412D2FE0C99A}" xr6:coauthVersionLast="47" xr6:coauthVersionMax="47" xr10:uidLastSave="{2DEF7783-953F-41F1-9172-6A0E9C1632D4}"/>
  <bookViews>
    <workbookView xWindow="4155" yWindow="-15675" windowWidth="24855" windowHeight="14100" xr2:uid="{00000000-000D-0000-FFFF-FFFF00000000}"/>
  </bookViews>
  <sheets>
    <sheet name="1_事前取得_Prework" sheetId="1" r:id="rId1"/>
    <sheet name="2_作業中_Decide" sheetId="2" r:id="rId2"/>
    <sheet name="3_生成値_Generated" sheetId="3" r:id="rId3"/>
  </sheets>
  <definedNames>
    <definedName name="_xlnm.Print_Titles" localSheetId="0">'1_事前取得_Prework'!$1:$3</definedName>
    <definedName name="_xlnm.Print_Titles" localSheetId="1">'2_作業中_Decide'!$1:$3</definedName>
    <definedName name="_xlnm.Print_Titles" localSheetId="2">'3_生成値_Generated'!$1:$3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2" l="1"/>
  <c r="F17" i="2"/>
  <c r="F15" i="2"/>
  <c r="F13" i="1"/>
  <c r="F5" i="1"/>
  <c r="F6" i="1"/>
  <c r="F5" i="3"/>
  <c r="F4" i="3"/>
  <c r="F26" i="2"/>
  <c r="F25" i="2"/>
  <c r="F24" i="2"/>
  <c r="F23" i="2"/>
  <c r="F22" i="2"/>
  <c r="F21" i="2"/>
  <c r="F20" i="2"/>
  <c r="F19" i="2"/>
  <c r="F18" i="2"/>
  <c r="F16" i="2"/>
  <c r="F14" i="2"/>
  <c r="E13" i="2"/>
  <c r="F13" i="2" s="1"/>
  <c r="F11" i="2"/>
  <c r="F10" i="2"/>
  <c r="F9" i="2"/>
  <c r="F8" i="2"/>
  <c r="F6" i="2"/>
  <c r="F5" i="2"/>
  <c r="F4" i="2"/>
  <c r="F14" i="1"/>
  <c r="F12" i="1"/>
  <c r="F11" i="1"/>
  <c r="F10" i="1"/>
  <c r="F9" i="1"/>
  <c r="F8" i="1"/>
  <c r="F7" i="1"/>
  <c r="F4" i="1"/>
  <c r="F7" i="2"/>
  <c r="F12" i="2"/>
</calcChain>
</file>

<file path=xl/sharedStrings.xml><?xml version="1.0" encoding="utf-8"?>
<sst xmlns="http://schemas.openxmlformats.org/spreadsheetml/2006/main" count="181" uniqueCount="127">
  <si>
    <t>作業前に確認・取得しておく値 / Values to obtain before starting</t>
  </si>
  <si>
    <t>No.</t>
  </si>
  <si>
    <t>パラメータ / Parameter</t>
  </si>
  <si>
    <t>例・ルール / Example or rule</t>
  </si>
  <si>
    <t>最初に使う箇所 / First used</t>
  </si>
  <si>
    <t>入力・記録値 / Your value</t>
  </si>
  <si>
    <t>入力状況・簡易確認 / Completion / basic check</t>
  </si>
  <si>
    <t>補足 / Notes</t>
  </si>
  <si>
    <t>OCIリージョン
OCI region</t>
  </si>
  <si>
    <t>us-chicago-1</t>
  </si>
  <si>
    <t>Lab 0 / Task 1</t>
  </si>
  <si>
    <t>xai.grok-4.3をオンデマンド利用できるリージョン / Region where xai.grok-4.3 is available on demand</t>
  </si>
  <si>
    <t>&lt;your-public-ip&gt;/32</t>
  </si>
  <si>
    <t>参加者に割り当てられたコンパートメント / Compartment assigned to the participant</t>
  </si>
  <si>
    <t>ocid1.compartment...</t>
  </si>
  <si>
    <t>必要なリソース管理権限も確認 / Also verify the required resource-management permissions</t>
  </si>
  <si>
    <t>テナンシOCID
Tenancy OCID</t>
  </si>
  <si>
    <t>ocid1.tenancy...</t>
  </si>
  <si>
    <t>Lab 1 / Task 2</t>
  </si>
  <si>
    <t>OCI API署名キー認証で使用 / Used for OCI API-signing-key authentication</t>
  </si>
  <si>
    <t>OCIユーザーOCID
OCI user OCID</t>
  </si>
  <si>
    <t>ocid1.user...</t>
  </si>
  <si>
    <t>OCI APIキーのフィンガープリント
OCI API key fingerprint</t>
  </si>
  <si>
    <t>12:34:...</t>
  </si>
  <si>
    <t>PEM秘密キーに対応する値 / Must correspond to the PEM private key</t>
  </si>
  <si>
    <t>例: C:\Users\user\.oci\oci_api_key.pem / Example: ~/.oci/oci_api_key.pem</t>
  </si>
  <si>
    <t>OCIリージョンから自動設定 / Automatically derived from the OCI region</t>
  </si>
  <si>
    <t>初期値は編集可能 / The generated default remains editable</t>
  </si>
  <si>
    <t>生成モデルID
Generative model ID</t>
  </si>
  <si>
    <t>xai.grok-4.3</t>
  </si>
  <si>
    <t>初期値は編集可能 / The default remains editable</t>
  </si>
  <si>
    <t>作業中に決める値 / Values to decide during the workshop</t>
  </si>
  <si>
    <t>VCN名
VCN name</t>
  </si>
  <si>
    <t>表示名はテナンシ内で一意でなくてもよい / Display name need not be tenancy-unique</t>
  </si>
  <si>
    <t>パブリック・サブネット名
Public subnet name</t>
  </si>
  <si>
    <t>VCNウィザードがVCN名から自動生成し、確認および作成画面で実際の名前を確認 / Generated from the VCN name; confirm the actual name on the Review and Create page</t>
  </si>
  <si>
    <t>ADB表示名
ADB display name</t>
  </si>
  <si>
    <t>Lab 0 / Task 2</t>
  </si>
  <si>
    <t>ADBデータベース名
ADB database name</t>
  </si>
  <si>
    <t>ADB ECPU数
ADB ECPU count</t>
  </si>
  <si>
    <t>2</t>
  </si>
  <si>
    <t>ハンズオンの初期値。必要に応じて変更 / Workshop default; change if needed</t>
  </si>
  <si>
    <t>ADBストレージ（GB）
ADB storage (GB)</t>
  </si>
  <si>
    <t>ADB自動スケーリング
ADB auto scaling</t>
  </si>
  <si>
    <t>無効 / Disabled</t>
  </si>
  <si>
    <t>有効にすると利用量と料金が増える場合がある / Enabling can increase usage and cost</t>
  </si>
  <si>
    <t>ADB管理者パスワード
ADB administrator password</t>
  </si>
  <si>
    <t>作業中に決めて入力 / Decide and enter during the workshop</t>
  </si>
  <si>
    <t>12〜30文字。大文字・小文字・数字を含め、二重引用符とadminは不可 / 12–30 chars; upper, lower, digit; no double quote or admin</t>
  </si>
  <si>
    <t>Lab 0 / Task 3</t>
  </si>
  <si>
    <t>AAI_RO_&lt;DB_USER&gt;も有効かつ未使用にする / AAI_RO_&lt;DB_USER&gt; must also be valid and unused</t>
  </si>
  <si>
    <t>読取り専用DBユーザー名
Read-only database user name</t>
  </si>
  <si>
    <t>DB_USERからAAI_RO_&lt;DB_USER&gt;の形式で決まる / Determined from DB_USER as AAI_RO_&lt;DB_USER&gt;</t>
  </si>
  <si>
    <t>DB_USERとAAI_RO_&lt;DB_USER&gt;に同じパスワードを設定 / Same password for DB_USER and AAI_RO_&lt;DB_USER&gt;</t>
  </si>
  <si>
    <t>ダウンロード時に決めて入力 / Decide and enter when downloading</t>
  </si>
  <si>
    <t>Lab 0 / Task 4</t>
  </si>
  <si>
    <t>鍵ペア生成時に決めて入力 / Decide and enter when generating the key pair</t>
  </si>
  <si>
    <t>Lab 1 / Task 1</t>
  </si>
  <si>
    <t>VMシェイプ
VM shape</t>
  </si>
  <si>
    <t>利用可能なFlexシェイプ / available Flex shape</t>
  </si>
  <si>
    <t>サービス制限と空き容量を確認 / Check limits and capacity</t>
  </si>
  <si>
    <t>VM OCPU数
VM OCPUs</t>
  </si>
  <si>
    <t>4</t>
  </si>
  <si>
    <t>x86では8 CPUコア相当。公式最小値は8 CPUコア / Equivalent to 8 CPU cores on x86; official minimum is 8 CPU cores</t>
  </si>
  <si>
    <t>VMメモリー（GB）
VM memory (GB)</t>
  </si>
  <si>
    <t>32</t>
  </si>
  <si>
    <t>ハンズオン値32 GB、公式最小値16 GB / Workshop value 32 GB; official minimum 16 GB</t>
  </si>
  <si>
    <t>VMブート・ボリューム（GB）
VM boot volume (GB)</t>
  </si>
  <si>
    <t>500</t>
  </si>
  <si>
    <t>ハンズオン値と公式推奨値は500 GB、公式最小値120 GB / Workshop value and official recommendation 500 GB; official minimum 120 GB</t>
  </si>
  <si>
    <t>admin@example.com</t>
  </si>
  <si>
    <t>Agent Factory管理者パスワード
Agent Factory administrator password</t>
  </si>
  <si>
    <t>初回セットアップで決めて入力 / Decide and enter during first-time setup</t>
  </si>
  <si>
    <t>初回セットアップで決定 / Decide during first-time setup</t>
  </si>
  <si>
    <t>LLM構成名
LLM configuration name</t>
  </si>
  <si>
    <t>oci_grok43</t>
  </si>
  <si>
    <t>空白不可 / No spaces</t>
  </si>
  <si>
    <t>埋込みモデル構成名
Embedding configuration name</t>
  </si>
  <si>
    <t>cohere-embed4</t>
  </si>
  <si>
    <t>空白不可。1つのKnowledge Agentでは全データソースを同じモデルに統一 / No spaces; use one model for all sources in a Knowledge Agent</t>
  </si>
  <si>
    <t>作業中に生成される値 / Values generated during the workshop</t>
  </si>
  <si>
    <t>例: C:\Users\user\Downloads\Wallet_PAFDB.zip / Example: ~/Downloads/Wallet_PAFDB.zip</t>
  </si>
  <si>
    <t>ウォレット内に実際に表示された完全な_tpurgent別名を選択 / Select the complete _tpurgent alias that appears in the wallet</t>
  </si>
  <si>
    <t>https://&lt;public-ip&gt;:8080/agentFactory/installation</t>
  </si>
  <si>
    <t>Resource ManagerのAgent_Factory_URL出力 / Agent_Factory_URL output from Resource Manager</t>
  </si>
  <si>
    <t>taro.yamada</t>
    <phoneticPr fontId="3"/>
  </si>
  <si>
    <t>パブリック・サブネット-paf-vcn / Public Subnet-paf-vcn</t>
    <phoneticPr fontId="3"/>
  </si>
  <si>
    <t>パブリック・サブネット-paf-vcn</t>
    <phoneticPr fontId="3"/>
  </si>
  <si>
    <t>ED25519秘密鍵パスフレーズ
ED25519 private-key passphrase</t>
    <phoneticPr fontId="3"/>
  </si>
  <si>
    <t>ED25519鍵ペアの保存先
Storage location for ED25519 key pair</t>
    <rPh sb="7" eb="8">
      <t>カギ</t>
    </rPh>
    <rPh sb="11" eb="14">
      <t>ホゾ</t>
    </rPh>
    <phoneticPr fontId="3"/>
  </si>
  <si>
    <t>Agent Factory URL
Agent Factory URL</t>
    <phoneticPr fontId="3"/>
  </si>
  <si>
    <t>Agent Factory管理者のメールアドレス
Agent Factory administrator email address</t>
    <phoneticPr fontId="3"/>
  </si>
  <si>
    <t>ADBのTNS別名
ADB TNS alias</t>
    <phoneticPr fontId="3"/>
  </si>
  <si>
    <t>Agent Factory用DBユーザー名（DB_USER）
Agent Factory database user name (DB_USER)</t>
    <phoneticPr fontId="3"/>
  </si>
  <si>
    <t>割当済みコンパートメントOCID
Assigned compartment OCID</t>
    <phoneticPr fontId="3"/>
  </si>
  <si>
    <t>OCI API署名用PEM秘密キーの保存先
OCI API-signing PEM private-key path</t>
    <phoneticPr fontId="3"/>
  </si>
  <si>
    <t>ED25519秘密鍵とは別のファイル / Diffent from the ED25519 private key</t>
    <phoneticPr fontId="3"/>
  </si>
  <si>
    <t>OCI Generative AIのサービス・エンドポイント
OCI Generative AI service endpoint</t>
    <phoneticPr fontId="3"/>
  </si>
  <si>
    <t>cohere-embed4</t>
    <phoneticPr fontId="3"/>
  </si>
  <si>
    <t>Agent Factory用DBユーザーのパスワード
Agent Factory database-user password</t>
    <phoneticPr fontId="3"/>
  </si>
  <si>
    <t>PDF ファイル
PDF ファイル</t>
    <phoneticPr fontId="3"/>
  </si>
  <si>
    <t>https://www.oracle.com/jp/a/ocom/docs/jp-investor-relations/fy26-yuho-jp.pdf</t>
    <phoneticPr fontId="3"/>
  </si>
  <si>
    <t>Lab 2 / Task 2</t>
    <phoneticPr fontId="3"/>
  </si>
  <si>
    <t>PAFUSER</t>
    <phoneticPr fontId="3"/>
  </si>
  <si>
    <t>AAI_RO_PAFUSER</t>
    <phoneticPr fontId="3"/>
  </si>
  <si>
    <t>us-chicago-1</t>
    <phoneticPr fontId="3"/>
  </si>
  <si>
    <t>handson-名前</t>
    <rPh sb="8" eb="10">
      <t>ナマエ</t>
    </rPh>
    <phoneticPr fontId="3"/>
  </si>
  <si>
    <t>xxxx.pdf（RAGで使う任意のPDFファイル）</t>
    <rPh sb="13" eb="14">
      <t>ツカ</t>
    </rPh>
    <rPh sb="15" eb="17">
      <t>ニンイ</t>
    </rPh>
    <phoneticPr fontId="3"/>
  </si>
  <si>
    <t>https://inference.generativeai.us-chicago-1.oci.oraclecloud.com</t>
    <phoneticPr fontId="3"/>
  </si>
  <si>
    <t>ウォレット・パスワード
Wallet password</t>
    <phoneticPr fontId="3"/>
  </si>
  <si>
    <t>インスタンス・ウォレットのダウンロード時に決定 / Decide when downloading the instance wallet</t>
    <phoneticPr fontId="3"/>
  </si>
  <si>
    <t>将来SSH接続するときに必要 / Required for later SSH access</t>
    <phoneticPr fontId="3"/>
  </si>
  <si>
    <t>ウォレット・ファイルの保存先
Wallet file path</t>
    <phoneticPr fontId="3"/>
  </si>
  <si>
    <t>VM.Standard.E5.Flex</t>
    <phoneticPr fontId="3"/>
  </si>
  <si>
    <t>割当済みコンパートメント名
Assigned compartment name</t>
    <phoneticPr fontId="3"/>
  </si>
  <si>
    <t>xai.grok-4.3</t>
    <phoneticPr fontId="3"/>
  </si>
  <si>
    <t>vcn-名前など</t>
    <rPh sb="4" eb="6">
      <t>ナマエ</t>
    </rPh>
    <phoneticPr fontId="3"/>
  </si>
  <si>
    <t>PAFDB名前など</t>
    <rPh sb="5" eb="7">
      <t>ナマエ</t>
    </rPh>
    <phoneticPr fontId="3"/>
  </si>
  <si>
    <t>paf-adbなど</t>
    <phoneticPr fontId="3"/>
  </si>
  <si>
    <t>端末の接続元CIDR
Administrator source CIDR</t>
    <phoneticPr fontId="3"/>
  </si>
  <si>
    <t>OCIユーザー
OCI User</t>
    <phoneticPr fontId="3"/>
  </si>
  <si>
    <t>8080番ポートをこのCIDRだけに許可 / Allow port 8080 only from this CIDR
プロキシー経由の場合は、プロキシーが使用する CIDR（レンジ）を指定する。不明な場合は、
https://checkip.amazonaws.com/ で現在接続しているグローバル　IPを確認して指定。IPアドレス制限しない場合は、0.0.0.0/0 を指定。</t>
    <rPh sb="64" eb="66">
      <t>ケイユ</t>
    </rPh>
    <rPh sb="67" eb="69">
      <t>バアイ</t>
    </rPh>
    <rPh sb="77" eb="79">
      <t>シヨウ</t>
    </rPh>
    <rPh sb="92" eb="94">
      <t>シテイ</t>
    </rPh>
    <rPh sb="97" eb="99">
      <t>フメイ</t>
    </rPh>
    <rPh sb="100" eb="102">
      <t>バアイ</t>
    </rPh>
    <rPh sb="137" eb="139">
      <t>ゲンザイ</t>
    </rPh>
    <rPh sb="139" eb="141">
      <t>セツゾク</t>
    </rPh>
    <rPh sb="154" eb="156">
      <t>カクニン</t>
    </rPh>
    <rPh sb="167" eb="169">
      <t>セイゲン</t>
    </rPh>
    <rPh sb="172" eb="174">
      <t>バアイ</t>
    </rPh>
    <rPh sb="187" eb="189">
      <t>シテイ</t>
    </rPh>
    <phoneticPr fontId="3"/>
  </si>
  <si>
    <t>参加者ご自身のメールアドレス。初回セットアップとサインインに使用 / Used for first-time setup and sign-in</t>
    <rPh sb="0" eb="3">
      <t>サンカシャ</t>
    </rPh>
    <rPh sb="4" eb="6">
      <t>ジシン</t>
    </rPh>
    <phoneticPr fontId="3"/>
  </si>
  <si>
    <t>Knowledge Agents へアップロードする PDF ファイル /PDF files to be uploaded to Knowledge Agent
特に使いたいPDFファイルが無い場合は、左記の日本オラクル有価証券報告書など</t>
    <rPh sb="81" eb="82">
      <t>トク</t>
    </rPh>
    <rPh sb="83" eb="84">
      <t>ツカ</t>
    </rPh>
    <rPh sb="95" eb="96">
      <t>ナ</t>
    </rPh>
    <rPh sb="97" eb="99">
      <t>バアイ</t>
    </rPh>
    <rPh sb="101" eb="103">
      <t>サキ</t>
    </rPh>
    <rPh sb="104" eb="106">
      <t>ニホン</t>
    </rPh>
    <rPh sb="110" eb="114">
      <t>ユウカショウケン</t>
    </rPh>
    <rPh sb="114" eb="117">
      <t>ホウコクショ</t>
    </rPh>
    <phoneticPr fontId="3"/>
  </si>
  <si>
    <t>英字で始まる30文字以内の英数字。テナンシ内で一意 / 1–30 alphanumeric characters, starts with a letter, tenancy-unique
すべて大文字としてください</t>
    <rPh sb="98" eb="101">
      <t>オオモジ</t>
    </rPh>
    <phoneticPr fontId="3"/>
  </si>
  <si>
    <t>一意でなくてもよい / Need not be unique
　１～255文字。英字、数字、アンダースコア（_）、ハイフン（-）
ただし連続ハイフンは不可。先頭は英字かアンダースコア</t>
    <rPh sb="37" eb="39">
      <t>モジ</t>
    </rPh>
    <rPh sb="68" eb="70">
      <t>レンゾク</t>
    </rPh>
    <rPh sb="75" eb="77">
      <t>フカ</t>
    </rPh>
    <rPh sb="78" eb="80">
      <t>セントウ</t>
    </rPh>
    <rPh sb="81" eb="83">
      <t>エイジ</t>
    </rPh>
    <phoneticPr fontId="3"/>
  </si>
  <si>
    <t>ADBデータベース名_tpurgent</t>
    <rPh sb="9" eb="10">
      <t>メイ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</si>
</sst>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scheme val="minor"/>
    </font>
    <font>
      <b/>
      <sz val="16"/>
      <color rgb="FFFFFFFF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12D7B"/>
      </patternFill>
    </fill>
    <fill>
      <patternFill patternType="solid">
        <fgColor rgb="FF6D3FC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Protection="1">
      <protection locked="0"/>
    </xf>
    <xf numFmtId="0" fontId="2" fillId="3" borderId="0" xfId="0" applyFont="1" applyFill="1" applyAlignment="1" applyProtection="1">
      <alignment vertical="center" wrapText="1"/>
      <protection locked="0"/>
    </xf>
    <xf numFmtId="0" fontId="0" fillId="0" borderId="1" xfId="0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vertical="top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4" borderId="1" xfId="0" applyFill="1" applyBorder="1" applyAlignment="1">
      <alignment vertical="top" wrapText="1"/>
    </xf>
    <xf numFmtId="0" fontId="0" fillId="0" borderId="0" xfId="0" applyAlignment="1" applyProtection="1">
      <alignment vertical="top" wrapText="1"/>
      <protection locked="0"/>
    </xf>
    <xf numFmtId="0" fontId="2" fillId="3" borderId="0" xfId="0" applyFont="1" applyFill="1" applyAlignment="1" applyProtection="1">
      <alignment vertical="top" wrapText="1"/>
      <protection locked="0"/>
    </xf>
    <xf numFmtId="0" fontId="0" fillId="0" borderId="0" xfId="0" applyAlignment="1">
      <alignment vertical="top" wrapText="1"/>
    </xf>
    <xf numFmtId="0" fontId="0" fillId="4" borderId="1" xfId="0" applyFill="1" applyBorder="1" applyAlignment="1" applyProtection="1">
      <alignment vertical="top" wrapText="1"/>
      <protection locked="0"/>
    </xf>
    <xf numFmtId="0" fontId="0" fillId="5" borderId="1" xfId="0" applyFill="1" applyBorder="1" applyAlignment="1" applyProtection="1">
      <alignment vertical="top" wrapText="1"/>
      <protection locked="0"/>
    </xf>
    <xf numFmtId="0" fontId="4" fillId="5" borderId="1" xfId="1" applyFill="1" applyBorder="1" applyAlignment="1" applyProtection="1">
      <alignment vertical="top" wrapText="1"/>
      <protection locked="0"/>
    </xf>
    <xf numFmtId="0" fontId="0" fillId="5" borderId="0" xfId="0" applyFill="1" applyAlignment="1">
      <alignment vertical="top"/>
    </xf>
    <xf numFmtId="49" fontId="0" fillId="4" borderId="0" xfId="0" applyNumberFormat="1" applyFill="1" applyAlignment="1">
      <alignment vertical="top" wrapText="1"/>
    </xf>
    <xf numFmtId="0" fontId="4" fillId="5" borderId="0" xfId="1" applyFill="1" applyBorder="1" applyAlignment="1" applyProtection="1">
      <alignment vertical="top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5" borderId="1" xfId="0" applyFill="1" applyBorder="1" applyAlignment="1">
      <alignment vertical="top" wrapText="1"/>
    </xf>
    <xf numFmtId="0" fontId="0" fillId="0" borderId="1" xfId="0" applyBorder="1" applyAlignment="1" applyProtection="1">
      <alignment horizontal="left" vertical="top" wrapText="1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0" fillId="0" borderId="0" xfId="0" applyProtection="1">
      <protection locked="0"/>
    </xf>
  </cellXfs>
  <cellStyles count="2">
    <cellStyle name="ハイパーリンク" xfId="1" builtinId="8"/>
    <cellStyle name="標準" xfId="0" builtinId="0"/>
  </cellStyles>
  <dxfs count="14"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indexed="64"/>
          <bgColor rgb="FFFFFF00"/>
        </patternFill>
      </fill>
    </dxf>
    <dxf>
      <alignment horizontal="general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rameterTable1" displayName="ParameterTable1" ref="A3:G14">
  <autoFilter ref="A3:G14" xr:uid="{00000000-0009-0000-0100-000001000000}"/>
  <tableColumns count="7">
    <tableColumn id="1" xr3:uid="{00000000-0010-0000-0000-000001000000}" name="No."/>
    <tableColumn id="2" xr3:uid="{00000000-0010-0000-0000-000002000000}" name="パラメータ / Parameter"/>
    <tableColumn id="3" xr3:uid="{00000000-0010-0000-0000-000003000000}" name="例・ルール / Example or rule"/>
    <tableColumn id="4" xr3:uid="{00000000-0010-0000-0000-000004000000}" name="最初に使う箇所 / First used"/>
    <tableColumn id="5" xr3:uid="{00000000-0010-0000-0000-000005000000}" name="入力・記録値 / Your value" dataDxfId="13"/>
    <tableColumn id="6" xr3:uid="{00000000-0010-0000-0000-000006000000}" name="入力状況・簡易確認 / Completion / basic check"/>
    <tableColumn id="7" xr3:uid="{00000000-0010-0000-0000-000007000000}" name="補足 / Note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arameterTable2" displayName="ParameterTable2" ref="A3:G27">
  <autoFilter ref="A3:G27" xr:uid="{00000000-0009-0000-0100-000002000000}"/>
  <tableColumns count="7">
    <tableColumn id="1" xr3:uid="{00000000-0010-0000-0100-000001000000}" name="No."/>
    <tableColumn id="2" xr3:uid="{00000000-0010-0000-0100-000002000000}" name="パラメータ / Parameter"/>
    <tableColumn id="3" xr3:uid="{00000000-0010-0000-0100-000003000000}" name="例・ルール / Example or rule"/>
    <tableColumn id="4" xr3:uid="{00000000-0010-0000-0100-000004000000}" name="最初に使う箇所 / First used"/>
    <tableColumn id="5" xr3:uid="{00000000-0010-0000-0100-000005000000}" name="入力・記録値 / Your value"/>
    <tableColumn id="6" xr3:uid="{00000000-0010-0000-0100-000006000000}" name="入力状況・簡易確認 / Completion / basic check"/>
    <tableColumn id="7" xr3:uid="{00000000-0010-0000-0100-000007000000}" name="補足 / Notes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arameterTable3" displayName="ParameterTable3" ref="A3:G5">
  <autoFilter ref="A3:G5" xr:uid="{00000000-0009-0000-0100-000003000000}"/>
  <tableColumns count="7">
    <tableColumn id="1" xr3:uid="{00000000-0010-0000-0200-000001000000}" name="No."/>
    <tableColumn id="2" xr3:uid="{00000000-0010-0000-0200-000002000000}" name="パラメータ / Parameter"/>
    <tableColumn id="3" xr3:uid="{00000000-0010-0000-0200-000003000000}" name="例・ルール / Example or rule"/>
    <tableColumn id="4" xr3:uid="{00000000-0010-0000-0200-000004000000}" name="最初に使う箇所 / First used"/>
    <tableColumn id="5" xr3:uid="{00000000-0010-0000-0200-000005000000}" name="入力・記録値 / Your value" dataDxfId="12"/>
    <tableColumn id="6" xr3:uid="{00000000-0010-0000-0200-000006000000}" name="入力状況・簡易確認 / Completion / basic check"/>
    <tableColumn id="7" xr3:uid="{00000000-0010-0000-0200-000007000000}" name="補足 / Note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www.oracle.com/jp/a/ocom/docs/jp-investor-relations/fy26-yuho-jp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4"/>
  <sheetViews>
    <sheetView showGridLines="0" tabSelected="1" workbookViewId="0">
      <pane xSplit="4" ySplit="3" topLeftCell="E4" activePane="bottomRight" state="frozen"/>
      <selection pane="topRight"/>
      <selection pane="bottomLeft"/>
      <selection pane="bottomRight" activeCell="B4" sqref="B4"/>
    </sheetView>
  </sheetViews>
  <sheetFormatPr defaultRowHeight="13" x14ac:dyDescent="0.2"/>
  <cols>
    <col min="1" max="1" width="6" customWidth="1"/>
    <col min="2" max="2" width="36" customWidth="1"/>
    <col min="3" max="3" width="34" customWidth="1"/>
    <col min="4" max="4" width="19" customWidth="1"/>
    <col min="5" max="5" width="34" style="9" customWidth="1"/>
    <col min="6" max="6" width="22" customWidth="1"/>
    <col min="7" max="7" width="58" customWidth="1"/>
  </cols>
  <sheetData>
    <row r="1" spans="1:7" ht="28" customHeight="1" x14ac:dyDescent="0.2">
      <c r="A1" s="19" t="s">
        <v>0</v>
      </c>
      <c r="B1" s="19"/>
      <c r="C1" s="19"/>
      <c r="D1" s="19"/>
      <c r="E1" s="19"/>
      <c r="F1" s="19"/>
      <c r="G1" s="19"/>
    </row>
    <row r="2" spans="1:7" x14ac:dyDescent="0.2">
      <c r="A2" s="1"/>
      <c r="B2" s="1"/>
      <c r="C2" s="1"/>
      <c r="D2" s="1"/>
      <c r="E2" s="7"/>
      <c r="F2" s="1"/>
      <c r="G2" s="1"/>
    </row>
    <row r="3" spans="1:7" ht="36" customHeight="1" x14ac:dyDescent="0.2">
      <c r="A3" s="2" t="s">
        <v>1</v>
      </c>
      <c r="B3" s="2" t="s">
        <v>2</v>
      </c>
      <c r="C3" s="2" t="s">
        <v>3</v>
      </c>
      <c r="D3" s="2" t="s">
        <v>4</v>
      </c>
      <c r="E3" s="8" t="s">
        <v>5</v>
      </c>
      <c r="F3" s="2" t="s">
        <v>6</v>
      </c>
      <c r="G3" s="2" t="s">
        <v>7</v>
      </c>
    </row>
    <row r="4" spans="1:7" ht="45" customHeight="1" x14ac:dyDescent="0.2">
      <c r="A4" s="3">
        <v>1</v>
      </c>
      <c r="B4" s="4" t="s">
        <v>120</v>
      </c>
      <c r="C4" s="4" t="s">
        <v>85</v>
      </c>
      <c r="D4" s="4" t="s">
        <v>10</v>
      </c>
      <c r="E4" s="13"/>
      <c r="F4" s="5" t="str">
        <f>IF(E4="","未入力 / Missing","OK")</f>
        <v>未入力 / Missing</v>
      </c>
      <c r="G4" s="4" t="s">
        <v>11</v>
      </c>
    </row>
    <row r="5" spans="1:7" ht="45" customHeight="1" x14ac:dyDescent="0.2">
      <c r="A5" s="3">
        <v>2</v>
      </c>
      <c r="B5" s="4" t="s">
        <v>20</v>
      </c>
      <c r="C5" s="4" t="s">
        <v>21</v>
      </c>
      <c r="D5" s="4" t="s">
        <v>18</v>
      </c>
      <c r="E5" s="11"/>
      <c r="F5" s="5" t="str">
        <f>IF(E5="","未入力 / Missing",IF(IFERROR(AND(LEFT(E5,11)="ocid1.user.",LEN(E5)&gt;17),FALSE),"OK","形式確認 / Check format"))</f>
        <v>未入力 / Missing</v>
      </c>
      <c r="G5" s="4" t="s">
        <v>19</v>
      </c>
    </row>
    <row r="6" spans="1:7" ht="45" customHeight="1" x14ac:dyDescent="0.2">
      <c r="A6" s="3">
        <v>3</v>
      </c>
      <c r="B6" s="4" t="s">
        <v>8</v>
      </c>
      <c r="C6" s="4" t="s">
        <v>9</v>
      </c>
      <c r="D6" s="4" t="s">
        <v>10</v>
      </c>
      <c r="E6" s="6" t="s">
        <v>105</v>
      </c>
      <c r="F6" s="5" t="str">
        <f>IF(E6="","未入力 / Missing","OK")</f>
        <v>OK</v>
      </c>
      <c r="G6" s="4" t="s">
        <v>11</v>
      </c>
    </row>
    <row r="7" spans="1:7" ht="89.5" customHeight="1" x14ac:dyDescent="0.2">
      <c r="A7" s="3">
        <v>4</v>
      </c>
      <c r="B7" s="4" t="s">
        <v>119</v>
      </c>
      <c r="C7" s="4" t="s">
        <v>12</v>
      </c>
      <c r="D7" s="4" t="s">
        <v>10</v>
      </c>
      <c r="E7" s="11"/>
      <c r="F7" s="5" t="str">
        <f>IF(E7="","未入力 / Missing",IF(IFERROR(AND(LEN(E7)-LEN(SUBSTITUTE(E7,".",""))=3,ISNUMBER(SEARCH("/",E7)),VALUE(RIGHT(E7,LEN(E7)-SEARCH("/",E7)))&gt;=0,VALUE(RIGHT(E7,LEN(E7)-SEARCH("/",E7)))&lt;=32,ISERROR(SEARCH(" ",E7))),FALSE),"OK","形式確認 / Check format"))</f>
        <v>未入力 / Missing</v>
      </c>
      <c r="G7" s="4" t="s">
        <v>121</v>
      </c>
    </row>
    <row r="8" spans="1:7" ht="45" customHeight="1" x14ac:dyDescent="0.2">
      <c r="A8" s="3">
        <v>5</v>
      </c>
      <c r="B8" s="4" t="s">
        <v>114</v>
      </c>
      <c r="C8" s="4" t="s">
        <v>106</v>
      </c>
      <c r="D8" s="4" t="s">
        <v>10</v>
      </c>
      <c r="E8" s="11"/>
      <c r="F8" s="5" t="str">
        <f>IF(E8="","未入力 / Missing","OK")</f>
        <v>未入力 / Missing</v>
      </c>
      <c r="G8" s="4" t="s">
        <v>13</v>
      </c>
    </row>
    <row r="9" spans="1:7" ht="45" customHeight="1" x14ac:dyDescent="0.2">
      <c r="A9" s="3">
        <v>6</v>
      </c>
      <c r="B9" s="4" t="s">
        <v>94</v>
      </c>
      <c r="C9" s="4" t="s">
        <v>14</v>
      </c>
      <c r="D9" s="4" t="s">
        <v>10</v>
      </c>
      <c r="E9" s="11"/>
      <c r="F9" s="5" t="str">
        <f>IF(E9="","未入力 / Missing",IF(IFERROR(AND(LEFT(E9,18)="ocid1.compartment.",LEN(E9)&gt;24),FALSE),"OK","形式確認 / Check format"))</f>
        <v>未入力 / Missing</v>
      </c>
      <c r="G9" s="4" t="s">
        <v>15</v>
      </c>
    </row>
    <row r="10" spans="1:7" ht="45" customHeight="1" x14ac:dyDescent="0.2">
      <c r="A10" s="3">
        <v>7</v>
      </c>
      <c r="B10" s="4" t="s">
        <v>16</v>
      </c>
      <c r="C10" s="4" t="s">
        <v>17</v>
      </c>
      <c r="D10" s="4" t="s">
        <v>18</v>
      </c>
      <c r="E10" s="17"/>
      <c r="F10" s="5" t="str">
        <f>IF(E10="","未入力 / Missing",IF(IFERROR(AND(LEFT(E10,14)="ocid1.tenancy.",LEN(E10)&gt;20),FALSE),"OK","形式確認 / Check format"))</f>
        <v>未入力 / Missing</v>
      </c>
      <c r="G10" s="4" t="s">
        <v>19</v>
      </c>
    </row>
    <row r="11" spans="1:7" ht="45" customHeight="1" x14ac:dyDescent="0.2">
      <c r="A11" s="3">
        <v>8</v>
      </c>
      <c r="B11" s="4" t="s">
        <v>22</v>
      </c>
      <c r="C11" s="4" t="s">
        <v>23</v>
      </c>
      <c r="D11" s="4" t="s">
        <v>18</v>
      </c>
      <c r="E11" s="11"/>
      <c r="F11" s="5" t="str">
        <f>IF(E11="","未入力 / Missing",IF(IFERROR(AND(LEN(E11)=47,LEN(E11)-LEN(SUBSTITUTE(E11,":",""))=15,ISERROR(SEARCH(" ",E11))),FALSE),"OK","形式確認 / Check format"))</f>
        <v>未入力 / Missing</v>
      </c>
      <c r="G11" s="4" t="s">
        <v>24</v>
      </c>
    </row>
    <row r="12" spans="1:7" ht="45" customHeight="1" x14ac:dyDescent="0.2">
      <c r="A12" s="3">
        <v>9</v>
      </c>
      <c r="B12" s="4" t="s">
        <v>95</v>
      </c>
      <c r="C12" s="4" t="s">
        <v>25</v>
      </c>
      <c r="D12" s="4" t="s">
        <v>18</v>
      </c>
      <c r="E12" s="11"/>
      <c r="F12" s="5" t="str">
        <f>IF(E12="","未入力 / Missing","OK")</f>
        <v>未入力 / Missing</v>
      </c>
      <c r="G12" s="4" t="s">
        <v>96</v>
      </c>
    </row>
    <row r="13" spans="1:7" ht="45" customHeight="1" x14ac:dyDescent="0.2">
      <c r="A13" s="3">
        <v>10</v>
      </c>
      <c r="B13" s="4" t="s">
        <v>97</v>
      </c>
      <c r="C13" s="4" t="s">
        <v>26</v>
      </c>
      <c r="D13" s="4" t="s">
        <v>18</v>
      </c>
      <c r="E13" s="14" t="s">
        <v>108</v>
      </c>
      <c r="F13" s="5" t="str">
        <f>IF(E13="","未入力 / Missing",IF(IFERROR(AND(LEFT(E13,31)="https://inference.generativeai.",RIGHT(E13,20)=".oci.oraclecloud.com",ISERROR(SEARCH(" ",E13))),FALSE),"OK","形式確認 / Check format"))</f>
        <v>OK</v>
      </c>
      <c r="G13" s="4" t="s">
        <v>27</v>
      </c>
    </row>
    <row r="14" spans="1:7" ht="45" customHeight="1" x14ac:dyDescent="0.2">
      <c r="A14" s="3">
        <v>11</v>
      </c>
      <c r="B14" s="4" t="s">
        <v>28</v>
      </c>
      <c r="C14" s="4" t="s">
        <v>29</v>
      </c>
      <c r="D14" s="4" t="s">
        <v>18</v>
      </c>
      <c r="E14" s="6" t="s">
        <v>115</v>
      </c>
      <c r="F14" s="5" t="str">
        <f>IF(E14="","未入力 / Missing",IF(IFERROR(AND(LEN(E14)&gt;0,ISERROR(SEARCH(" ",E14))),FALSE),"OK","形式確認 / Check format"))</f>
        <v>OK</v>
      </c>
      <c r="G14" s="4" t="s">
        <v>30</v>
      </c>
    </row>
  </sheetData>
  <mergeCells count="1">
    <mergeCell ref="A1:G1"/>
  </mergeCells>
  <phoneticPr fontId="3"/>
  <conditionalFormatting sqref="F4:F14">
    <cfRule type="expression" dxfId="11" priority="1">
      <formula>ISNUMBER(SEARCH("未入力",F4))</formula>
    </cfRule>
    <cfRule type="expression" dxfId="10" priority="2">
      <formula>ISNUMBER(SEARCH("形式確認",F4))</formula>
    </cfRule>
    <cfRule type="expression" dxfId="9" priority="3">
      <formula>F4="OK"</formula>
    </cfRule>
  </conditionalFormatting>
  <pageMargins left="0.75" right="0.75" top="1" bottom="1" header="0.5" footer="0.5"/>
  <pageSetup fitToHeight="0" orientation="landscape"/>
  <headerFooter>
    <oddFooter>&amp;C&amp;9 &amp;K666666Private Agent Factory 26.7 — &amp;P / &amp;N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27"/>
  <sheetViews>
    <sheetView showGridLines="0" workbookViewId="0">
      <pane xSplit="4" ySplit="3" topLeftCell="E20" activePane="bottomRight" state="frozen"/>
      <selection pane="topRight"/>
      <selection pane="bottomLeft"/>
      <selection pane="bottomRight" activeCell="E18" sqref="E18"/>
    </sheetView>
  </sheetViews>
  <sheetFormatPr defaultRowHeight="13" x14ac:dyDescent="0.2"/>
  <cols>
    <col min="1" max="1" width="6" customWidth="1"/>
    <col min="2" max="2" width="36" customWidth="1"/>
    <col min="3" max="3" width="34" customWidth="1"/>
    <col min="4" max="4" width="19" customWidth="1"/>
    <col min="5" max="5" width="34" customWidth="1"/>
    <col min="6" max="6" width="22" customWidth="1"/>
    <col min="7" max="7" width="58" customWidth="1"/>
  </cols>
  <sheetData>
    <row r="1" spans="1:7" ht="28" customHeight="1" x14ac:dyDescent="0.2">
      <c r="A1" s="20" t="s">
        <v>31</v>
      </c>
      <c r="B1" s="21"/>
      <c r="C1" s="21"/>
      <c r="D1" s="21"/>
      <c r="E1" s="21"/>
      <c r="F1" s="21"/>
      <c r="G1" s="21"/>
    </row>
    <row r="2" spans="1:7" x14ac:dyDescent="0.2">
      <c r="A2" s="1"/>
      <c r="B2" s="1"/>
      <c r="C2" s="1"/>
      <c r="D2" s="1"/>
      <c r="E2" s="1"/>
      <c r="F2" s="1"/>
      <c r="G2" s="1"/>
    </row>
    <row r="3" spans="1:7" ht="36" customHeight="1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ht="45" customHeight="1" x14ac:dyDescent="0.2">
      <c r="A4" s="3">
        <v>1</v>
      </c>
      <c r="B4" s="4" t="s">
        <v>32</v>
      </c>
      <c r="C4" s="4" t="s">
        <v>116</v>
      </c>
      <c r="D4" s="4" t="s">
        <v>10</v>
      </c>
      <c r="E4" s="11"/>
      <c r="F4" s="5" t="str">
        <f>IF(E4="","未入力 / Missing","OK")</f>
        <v>未入力 / Missing</v>
      </c>
      <c r="G4" s="4" t="s">
        <v>33</v>
      </c>
    </row>
    <row r="5" spans="1:7" ht="45" customHeight="1" x14ac:dyDescent="0.2">
      <c r="A5" s="3">
        <v>2</v>
      </c>
      <c r="B5" s="4" t="s">
        <v>34</v>
      </c>
      <c r="C5" s="4" t="s">
        <v>86</v>
      </c>
      <c r="D5" s="4" t="s">
        <v>10</v>
      </c>
      <c r="E5" s="10" t="s">
        <v>87</v>
      </c>
      <c r="F5" s="5" t="str">
        <f>IF(E5="","未入力 / Missing","OK")</f>
        <v>OK</v>
      </c>
      <c r="G5" s="4" t="s">
        <v>35</v>
      </c>
    </row>
    <row r="6" spans="1:7" ht="45" customHeight="1" x14ac:dyDescent="0.2">
      <c r="A6" s="3">
        <v>3</v>
      </c>
      <c r="B6" s="4" t="s">
        <v>36</v>
      </c>
      <c r="C6" s="4" t="s">
        <v>118</v>
      </c>
      <c r="D6" s="4" t="s">
        <v>37</v>
      </c>
      <c r="E6" s="11"/>
      <c r="F6" s="5" t="str">
        <f>IF(E6="","未入力 / Missing","OK")</f>
        <v>未入力 / Missing</v>
      </c>
      <c r="G6" s="4" t="s">
        <v>125</v>
      </c>
    </row>
    <row r="7" spans="1:7" ht="45" customHeight="1" x14ac:dyDescent="0.2">
      <c r="A7" s="3">
        <v>4</v>
      </c>
      <c r="B7" s="4" t="s">
        <v>38</v>
      </c>
      <c r="C7" s="4" t="s">
        <v>117</v>
      </c>
      <c r="D7" s="4" t="s">
        <v>37</v>
      </c>
      <c r="E7" s="11"/>
      <c r="F7" s="5" t="str">
        <f ca="1">IF(E7="","未入力 / Missing",IF(IFERROR(AND(LEN(E7)&lt;=30,LEN(E7)&gt;=1,CODE(UPPER(LEFT(E7,1)))&gt;=65,CODE(UPPER(LEFT(E7,1)))&lt;=90,SUMPRODUCT(--ISNUMBER(SEARCH(MID(UPPER(E7),ROW(INDIRECT("1:"&amp;LEN(E7))),1),"ABCDEFGHIJKLMNOPQRSTUVWXYZ0123456789")))=LEN(E7)),FALSE),"OK","形式確認 / Check format"))</f>
        <v>未入力 / Missing</v>
      </c>
      <c r="G7" s="4" t="s">
        <v>124</v>
      </c>
    </row>
    <row r="8" spans="1:7" ht="45" customHeight="1" x14ac:dyDescent="0.2">
      <c r="A8" s="3">
        <v>5</v>
      </c>
      <c r="B8" s="4" t="s">
        <v>39</v>
      </c>
      <c r="C8" s="4" t="s">
        <v>40</v>
      </c>
      <c r="D8" s="4" t="s">
        <v>37</v>
      </c>
      <c r="E8" s="10">
        <v>2</v>
      </c>
      <c r="F8" s="5" t="str">
        <f>IF(E8="","未入力 / Missing",IF(IFERROR(AND(ISNUMBER(E8),E8&gt;=1),FALSE),"OK","形式確認 / Check format"))</f>
        <v>OK</v>
      </c>
      <c r="G8" s="4" t="s">
        <v>41</v>
      </c>
    </row>
    <row r="9" spans="1:7" ht="45" customHeight="1" x14ac:dyDescent="0.2">
      <c r="A9" s="3">
        <v>6</v>
      </c>
      <c r="B9" s="4" t="s">
        <v>42</v>
      </c>
      <c r="C9" s="18">
        <v>150</v>
      </c>
      <c r="D9" s="4" t="s">
        <v>37</v>
      </c>
      <c r="E9" s="10">
        <v>150</v>
      </c>
      <c r="F9" s="5" t="str">
        <f>IF(E9="","未入力 / Missing",IF(IFERROR(AND(ISNUMBER(E9),E9&gt;=1),FALSE),"OK","形式確認 / Check format"))</f>
        <v>OK</v>
      </c>
      <c r="G9" s="4" t="s">
        <v>41</v>
      </c>
    </row>
    <row r="10" spans="1:7" ht="45" customHeight="1" x14ac:dyDescent="0.2">
      <c r="A10" s="3">
        <v>7</v>
      </c>
      <c r="B10" s="4" t="s">
        <v>43</v>
      </c>
      <c r="C10" s="4" t="s">
        <v>44</v>
      </c>
      <c r="D10" s="4" t="s">
        <v>37</v>
      </c>
      <c r="E10" s="10" t="s">
        <v>44</v>
      </c>
      <c r="F10" s="5" t="str">
        <f>IF(E10="","未入力 / Missing",IF(IFERROR(OR(E10="有効",E10="無効",E10="Enabled",E10="Disabled",E10="有効 / Enabled",E10="無効 / Disabled"),FALSE),"OK","形式確認 / Check format"))</f>
        <v>OK</v>
      </c>
      <c r="G10" s="4" t="s">
        <v>45</v>
      </c>
    </row>
    <row r="11" spans="1:7" ht="45" customHeight="1" x14ac:dyDescent="0.2">
      <c r="A11" s="3">
        <v>8</v>
      </c>
      <c r="B11" s="4" t="s">
        <v>46</v>
      </c>
      <c r="C11" s="4" t="s">
        <v>47</v>
      </c>
      <c r="D11" s="4" t="s">
        <v>37</v>
      </c>
      <c r="E11" s="11"/>
      <c r="F11" s="5" t="str">
        <f>IF(E11="","未入力 / Missing","OK")</f>
        <v>未入力 / Missing</v>
      </c>
      <c r="G11" s="4" t="s">
        <v>48</v>
      </c>
    </row>
    <row r="12" spans="1:7" ht="45" customHeight="1" x14ac:dyDescent="0.2">
      <c r="A12" s="3">
        <v>9</v>
      </c>
      <c r="B12" s="4" t="s">
        <v>93</v>
      </c>
      <c r="C12" s="4" t="s">
        <v>103</v>
      </c>
      <c r="D12" s="4" t="s">
        <v>49</v>
      </c>
      <c r="E12" s="10" t="s">
        <v>103</v>
      </c>
      <c r="F12" s="5" t="str">
        <f ca="1">IF(E12="","未入力 / Missing",IF(IFERROR(AND(LEN(E12)&gt;=1,LEN(E12)&lt;=121,CODE(UPPER(LEFT(E12,1)))&gt;=65,CODE(UPPER(LEFT(E12,1)))&lt;=90,SUMPRODUCT(--ISNUMBER(SEARCH(MID(UPPER(E12),ROW(INDIRECT("1:"&amp;LEN(E12))),1),"ABCDEFGHIJKLMNOPQRSTUVWXYZ0123456789_")))=LEN(E12)),FALSE),"OK","形式確認 / Check format"))</f>
        <v>OK</v>
      </c>
      <c r="G12" s="4" t="s">
        <v>50</v>
      </c>
    </row>
    <row r="13" spans="1:7" ht="45" customHeight="1" x14ac:dyDescent="0.2">
      <c r="A13" s="3">
        <v>10</v>
      </c>
      <c r="B13" s="4" t="s">
        <v>51</v>
      </c>
      <c r="C13" s="4" t="s">
        <v>104</v>
      </c>
      <c r="D13" s="4" t="s">
        <v>49</v>
      </c>
      <c r="E13" s="10" t="str">
        <f>"AAI_RO_"&amp;UPPER('2_作業中_Decide'!E12)</f>
        <v>AAI_RO_PAFUSER</v>
      </c>
      <c r="F13" s="5" t="str">
        <f>IF(E13="","未入力 / Missing",IF(IFERROR(UPPER(E13)="AAI_RO_"&amp;UPPER('2_作業中_Decide'!E12),FALSE),"OK","形式確認 / Check format"))</f>
        <v>OK</v>
      </c>
      <c r="G13" s="4" t="s">
        <v>52</v>
      </c>
    </row>
    <row r="14" spans="1:7" ht="45" customHeight="1" x14ac:dyDescent="0.2">
      <c r="A14" s="3">
        <v>11</v>
      </c>
      <c r="B14" s="4" t="s">
        <v>99</v>
      </c>
      <c r="C14" s="4" t="s">
        <v>47</v>
      </c>
      <c r="D14" s="4" t="s">
        <v>49</v>
      </c>
      <c r="E14" s="11"/>
      <c r="F14" s="5" t="str">
        <f t="shared" ref="F14:F19" si="0">IF(E14="","未入力 / Missing","OK")</f>
        <v>未入力 / Missing</v>
      </c>
      <c r="G14" s="4" t="s">
        <v>53</v>
      </c>
    </row>
    <row r="15" spans="1:7" ht="45" customHeight="1" x14ac:dyDescent="0.2">
      <c r="A15" s="3">
        <v>12</v>
      </c>
      <c r="B15" s="4" t="s">
        <v>112</v>
      </c>
      <c r="C15" s="4" t="s">
        <v>81</v>
      </c>
      <c r="D15" s="4" t="s">
        <v>55</v>
      </c>
      <c r="E15" s="11"/>
      <c r="F15" s="5" t="str">
        <f>IF(E15="","未入力 / Missing","OK")</f>
        <v>未入力 / Missing</v>
      </c>
      <c r="G15" s="4" t="s">
        <v>110</v>
      </c>
    </row>
    <row r="16" spans="1:7" ht="45" customHeight="1" x14ac:dyDescent="0.2">
      <c r="A16" s="3">
        <v>13</v>
      </c>
      <c r="B16" s="4" t="s">
        <v>109</v>
      </c>
      <c r="C16" s="4" t="s">
        <v>54</v>
      </c>
      <c r="D16" s="4" t="s">
        <v>55</v>
      </c>
      <c r="E16" s="11"/>
      <c r="F16" s="5" t="str">
        <f t="shared" si="0"/>
        <v>未入力 / Missing</v>
      </c>
      <c r="G16" s="4" t="s">
        <v>110</v>
      </c>
    </row>
    <row r="17" spans="1:7" ht="45" customHeight="1" x14ac:dyDescent="0.2">
      <c r="A17" s="3">
        <v>14</v>
      </c>
      <c r="B17" s="4" t="s">
        <v>89</v>
      </c>
      <c r="C17" s="4" t="s">
        <v>56</v>
      </c>
      <c r="D17" s="4" t="s">
        <v>57</v>
      </c>
      <c r="E17" s="11"/>
      <c r="F17" s="5" t="str">
        <f>IF(E17="","未入力 / Missing","OK")</f>
        <v>未入力 / Missing</v>
      </c>
      <c r="G17" s="4" t="s">
        <v>111</v>
      </c>
    </row>
    <row r="18" spans="1:7" ht="45" customHeight="1" x14ac:dyDescent="0.2">
      <c r="A18" s="3">
        <v>15</v>
      </c>
      <c r="B18" s="4" t="s">
        <v>88</v>
      </c>
      <c r="C18" s="4" t="s">
        <v>56</v>
      </c>
      <c r="D18" s="4" t="s">
        <v>57</v>
      </c>
      <c r="E18" s="11"/>
      <c r="F18" s="5" t="str">
        <f t="shared" si="0"/>
        <v>未入力 / Missing</v>
      </c>
      <c r="G18" s="4" t="s">
        <v>111</v>
      </c>
    </row>
    <row r="19" spans="1:7" ht="45" customHeight="1" x14ac:dyDescent="0.2">
      <c r="A19" s="3">
        <v>16</v>
      </c>
      <c r="B19" s="4" t="s">
        <v>58</v>
      </c>
      <c r="C19" s="4" t="s">
        <v>59</v>
      </c>
      <c r="D19" s="4" t="s">
        <v>57</v>
      </c>
      <c r="E19" s="10" t="s">
        <v>113</v>
      </c>
      <c r="F19" s="5" t="str">
        <f t="shared" si="0"/>
        <v>OK</v>
      </c>
      <c r="G19" s="4" t="s">
        <v>60</v>
      </c>
    </row>
    <row r="20" spans="1:7" ht="45" customHeight="1" x14ac:dyDescent="0.2">
      <c r="A20" s="3">
        <v>17</v>
      </c>
      <c r="B20" s="4" t="s">
        <v>61</v>
      </c>
      <c r="C20" s="4" t="s">
        <v>62</v>
      </c>
      <c r="D20" s="4" t="s">
        <v>57</v>
      </c>
      <c r="E20" s="10">
        <v>4</v>
      </c>
      <c r="F20" s="5" t="str">
        <f>IF(E20="","未入力 / Missing",IF(IFERROR(AND(ISNUMBER(E20),E20&gt;=4),FALSE),"OK","形式確認 / Check format"))</f>
        <v>OK</v>
      </c>
      <c r="G20" s="4" t="s">
        <v>63</v>
      </c>
    </row>
    <row r="21" spans="1:7" ht="45" customHeight="1" x14ac:dyDescent="0.2">
      <c r="A21" s="3">
        <v>18</v>
      </c>
      <c r="B21" s="4" t="s">
        <v>64</v>
      </c>
      <c r="C21" s="4" t="s">
        <v>65</v>
      </c>
      <c r="D21" s="4" t="s">
        <v>57</v>
      </c>
      <c r="E21" s="10">
        <v>32</v>
      </c>
      <c r="F21" s="5" t="str">
        <f>IF(E21="","未入力 / Missing",IF(IFERROR(AND(ISNUMBER(E21),E21&gt;=16),FALSE),"OK","形式確認 / Check format"))</f>
        <v>OK</v>
      </c>
      <c r="G21" s="4" t="s">
        <v>66</v>
      </c>
    </row>
    <row r="22" spans="1:7" ht="45" customHeight="1" x14ac:dyDescent="0.2">
      <c r="A22" s="3">
        <v>19</v>
      </c>
      <c r="B22" s="4" t="s">
        <v>67</v>
      </c>
      <c r="C22" s="4" t="s">
        <v>68</v>
      </c>
      <c r="D22" s="4" t="s">
        <v>57</v>
      </c>
      <c r="E22" s="10">
        <v>500</v>
      </c>
      <c r="F22" s="5" t="str">
        <f>IF(E22="","未入力 / Missing",IF(IFERROR(AND(ISNUMBER(E22),E22&gt;=120),FALSE),"OK","形式確認 / Check format"))</f>
        <v>OK</v>
      </c>
      <c r="G22" s="4" t="s">
        <v>69</v>
      </c>
    </row>
    <row r="23" spans="1:7" ht="45" customHeight="1" x14ac:dyDescent="0.2">
      <c r="A23" s="3">
        <v>20</v>
      </c>
      <c r="B23" s="4" t="s">
        <v>91</v>
      </c>
      <c r="C23" s="4" t="s">
        <v>70</v>
      </c>
      <c r="D23" s="4" t="s">
        <v>18</v>
      </c>
      <c r="E23" s="13"/>
      <c r="F23" s="5" t="str">
        <f>IF(E23="","未入力 / Missing",IF(IFERROR(AND(LEN(E23)-LEN(SUBSTITUTE(E23,"@",""))=1,ISNUMBER(SEARCH(".",E23,SEARCH("@",E23)+2)),ISERROR(SEARCH(" ",E23))),FALSE),"OK","形式確認 / Check format"))</f>
        <v>未入力 / Missing</v>
      </c>
      <c r="G23" s="4" t="s">
        <v>122</v>
      </c>
    </row>
    <row r="24" spans="1:7" ht="45" customHeight="1" x14ac:dyDescent="0.2">
      <c r="A24" s="3">
        <v>21</v>
      </c>
      <c r="B24" s="4" t="s">
        <v>71</v>
      </c>
      <c r="C24" s="4" t="s">
        <v>72</v>
      </c>
      <c r="D24" s="4" t="s">
        <v>18</v>
      </c>
      <c r="E24" s="11"/>
      <c r="F24" s="5" t="str">
        <f>IF(E24="","未入力 / Missing","OK")</f>
        <v>未入力 / Missing</v>
      </c>
      <c r="G24" s="4" t="s">
        <v>73</v>
      </c>
    </row>
    <row r="25" spans="1:7" ht="45" customHeight="1" x14ac:dyDescent="0.2">
      <c r="A25" s="3">
        <v>22</v>
      </c>
      <c r="B25" s="4" t="s">
        <v>74</v>
      </c>
      <c r="C25" s="4" t="s">
        <v>75</v>
      </c>
      <c r="D25" s="4" t="s">
        <v>18</v>
      </c>
      <c r="E25" s="10" t="s">
        <v>75</v>
      </c>
      <c r="F25" s="5" t="str">
        <f>IF(E25="","未入力 / Missing",IF(IFERROR(ISERROR(SEARCH(" ",E25)),FALSE),"OK","形式確認 / Check format"))</f>
        <v>OK</v>
      </c>
      <c r="G25" s="4" t="s">
        <v>76</v>
      </c>
    </row>
    <row r="26" spans="1:7" ht="45" customHeight="1" x14ac:dyDescent="0.2">
      <c r="A26" s="3">
        <v>23</v>
      </c>
      <c r="B26" s="4" t="s">
        <v>77</v>
      </c>
      <c r="C26" s="4" t="s">
        <v>78</v>
      </c>
      <c r="D26" s="4" t="s">
        <v>18</v>
      </c>
      <c r="E26" s="10" t="s">
        <v>98</v>
      </c>
      <c r="F26" s="5" t="str">
        <f>IF(E26="","未入力 / Missing",IF(IFERROR(ISERROR(SEARCH(" ",E26)),FALSE),"OK","形式確認 / Check format"))</f>
        <v>OK</v>
      </c>
      <c r="G26" s="4" t="s">
        <v>79</v>
      </c>
    </row>
    <row r="27" spans="1:7" ht="52" x14ac:dyDescent="0.2">
      <c r="A27" s="3">
        <v>24</v>
      </c>
      <c r="B27" s="7" t="s">
        <v>100</v>
      </c>
      <c r="C27" s="7" t="s">
        <v>107</v>
      </c>
      <c r="D27" s="7" t="s">
        <v>102</v>
      </c>
      <c r="E27" s="15" t="s">
        <v>101</v>
      </c>
      <c r="F27" s="16" t="str">
        <f>IF(E27="","未入力 / Missing",IF(IFERROR(AND(LEN(E27)&gt;0,ISERROR(SEARCH(" ",E27))),FALSE),"OK","形式確認 / Check format"))</f>
        <v>OK</v>
      </c>
      <c r="G27" s="7" t="s">
        <v>123</v>
      </c>
    </row>
  </sheetData>
  <mergeCells count="1">
    <mergeCell ref="A1:G1"/>
  </mergeCells>
  <phoneticPr fontId="3"/>
  <conditionalFormatting sqref="F4:F27">
    <cfRule type="expression" dxfId="8" priority="4">
      <formula>ISNUMBER(SEARCH("未入力",F4))</formula>
    </cfRule>
    <cfRule type="expression" dxfId="7" priority="5">
      <formula>ISNUMBER(SEARCH("形式確認",F4))</formula>
    </cfRule>
    <cfRule type="expression" dxfId="6" priority="6">
      <formula>F4="OK"</formula>
    </cfRule>
  </conditionalFormatting>
  <conditionalFormatting sqref="F27">
    <cfRule type="expression" dxfId="5" priority="1">
      <formula>ISNUMBER(SEARCH("未入力",F27))</formula>
    </cfRule>
    <cfRule type="expression" dxfId="4" priority="2">
      <formula>ISNUMBER(SEARCH("形式確認",F27))</formula>
    </cfRule>
    <cfRule type="expression" dxfId="3" priority="3">
      <formula>F27="OK"</formula>
    </cfRule>
  </conditionalFormatting>
  <dataValidations count="5">
    <dataValidation type="whole" operator="greaterThanOrEqual" allowBlank="1" showErrorMessage="1" errorTitle="入力値を確認 / Check value" error="1以上の整数を入力してください。 / Enter an integer of at least 1." sqref="E8:E9" xr:uid="{00000000-0002-0000-0100-000000000000}">
      <formula1>1</formula1>
    </dataValidation>
    <dataValidation type="list" allowBlank="1" showInputMessage="1" showErrorMessage="1" errorTitle="入力値を確認 / Check value" error="一覧から値を選択してください。 / Select a value from the list." promptTitle="入力候補 / Allowed value" prompt="一覧から選択 / Select from the list" sqref="E10" xr:uid="{00000000-0002-0000-0100-000002000000}">
      <formula1>"有効 / Enabled,無効 / Disabled"</formula1>
    </dataValidation>
    <dataValidation type="whole" operator="greaterThanOrEqual" allowBlank="1" showErrorMessage="1" errorTitle="入力値を確認 / Check value" error="4以上の整数を入力してください。 / Enter an integer of at least 4." sqref="E20" xr:uid="{00000000-0002-0000-0100-000003000000}">
      <formula1>4</formula1>
    </dataValidation>
    <dataValidation type="whole" operator="greaterThanOrEqual" allowBlank="1" showErrorMessage="1" errorTitle="入力値を確認 / Check value" error="16以上の整数を入力してください。 / Enter an integer of at least 16." sqref="E21" xr:uid="{00000000-0002-0000-0100-000004000000}">
      <formula1>16</formula1>
    </dataValidation>
    <dataValidation type="whole" operator="greaterThanOrEqual" allowBlank="1" showErrorMessage="1" errorTitle="入力値を確認 / Check value" error="120以上の整数を入力してください。 / Enter an integer of at least 120." sqref="E22" xr:uid="{00000000-0002-0000-0100-000005000000}">
      <formula1>120</formula1>
    </dataValidation>
  </dataValidations>
  <hyperlinks>
    <hyperlink ref="E27" r:id="rId1" xr:uid="{C77264C9-B485-4AEB-8195-C3C6714CE5B4}"/>
  </hyperlinks>
  <pageMargins left="0.75" right="0.75" top="1" bottom="1" header="0.5" footer="0.5"/>
  <pageSetup fitToHeight="0" orientation="landscape"/>
  <headerFooter>
    <oddFooter>&amp;C&amp;9 &amp;K666666Private Agent Factory 26.7 — &amp;P /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5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E5" sqref="E5"/>
    </sheetView>
  </sheetViews>
  <sheetFormatPr defaultRowHeight="13" x14ac:dyDescent="0.2"/>
  <cols>
    <col min="1" max="1" width="6" customWidth="1"/>
    <col min="2" max="2" width="36" customWidth="1"/>
    <col min="3" max="3" width="34" customWidth="1"/>
    <col min="4" max="4" width="19" customWidth="1"/>
    <col min="5" max="5" width="34" customWidth="1"/>
    <col min="6" max="6" width="22" customWidth="1"/>
    <col min="7" max="7" width="58" customWidth="1"/>
  </cols>
  <sheetData>
    <row r="1" spans="1:7" ht="28" customHeight="1" x14ac:dyDescent="0.2">
      <c r="A1" s="20" t="s">
        <v>80</v>
      </c>
      <c r="B1" s="21"/>
      <c r="C1" s="21"/>
      <c r="D1" s="21"/>
      <c r="E1" s="21"/>
      <c r="F1" s="21"/>
      <c r="G1" s="21"/>
    </row>
    <row r="2" spans="1:7" x14ac:dyDescent="0.2">
      <c r="A2" s="1"/>
      <c r="B2" s="1"/>
      <c r="C2" s="1"/>
      <c r="D2" s="1"/>
      <c r="E2" s="1"/>
      <c r="F2" s="1"/>
      <c r="G2" s="1"/>
    </row>
    <row r="3" spans="1:7" ht="36" customHeight="1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ht="45" customHeight="1" x14ac:dyDescent="0.2">
      <c r="A4" s="3">
        <v>2</v>
      </c>
      <c r="B4" s="4" t="s">
        <v>92</v>
      </c>
      <c r="C4" s="4" t="s">
        <v>126</v>
      </c>
      <c r="D4" s="4" t="s">
        <v>55</v>
      </c>
      <c r="E4" s="11"/>
      <c r="F4" s="5" t="str">
        <f>IF(E4="","未入力 / Missing",IF(IFERROR(LOWER(E4)=LOWER('2_作業中_Decide'!E7)&amp;"_tpurgent",FALSE),"OK","形式確認 / Check format"))</f>
        <v>未入力 / Missing</v>
      </c>
      <c r="G4" s="4" t="s">
        <v>82</v>
      </c>
    </row>
    <row r="5" spans="1:7" ht="45" customHeight="1" x14ac:dyDescent="0.2">
      <c r="A5" s="3">
        <v>6</v>
      </c>
      <c r="B5" s="4" t="s">
        <v>90</v>
      </c>
      <c r="C5" s="4" t="s">
        <v>83</v>
      </c>
      <c r="D5" s="4" t="s">
        <v>57</v>
      </c>
      <c r="E5" s="12"/>
      <c r="F5" s="5" t="str">
        <f>IF(E5="","未入力 / Missing",IF(IFERROR(AND(LEFT(E5,8)="https://",ISNUMBER(SEARCH(":8080/agentFactory/installation",E5)),ISERROR(SEARCH(" ",E5))),FALSE),"OK","形式確認 / Check format"))</f>
        <v>未入力 / Missing</v>
      </c>
      <c r="G5" s="4" t="s">
        <v>84</v>
      </c>
    </row>
  </sheetData>
  <mergeCells count="1">
    <mergeCell ref="A1:G1"/>
  </mergeCells>
  <phoneticPr fontId="3"/>
  <conditionalFormatting sqref="F4:F5">
    <cfRule type="expression" dxfId="2" priority="1">
      <formula>ISNUMBER(SEARCH("未入力",F4))</formula>
    </cfRule>
    <cfRule type="expression" dxfId="1" priority="2">
      <formula>ISNUMBER(SEARCH("形式確認",F4))</formula>
    </cfRule>
    <cfRule type="expression" dxfId="0" priority="3">
      <formula>F4="OK"</formula>
    </cfRule>
  </conditionalFormatting>
  <pageMargins left="0.75" right="0.75" top="1" bottom="1" header="0.5" footer="0.5"/>
  <pageSetup fitToHeight="0" orientation="landscape"/>
  <headerFooter>
    <oddFooter>&amp;C&amp;9 &amp;K666666Private Agent Factory 26.7 — &amp;P / &amp;N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3c76ce46-357f-46de-88d6-77b9bbb83c46}" enabled="1" method="Privileged" siteId="{4e2c6054-71cb-48f1-bd6c-3a9705aca71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1_事前取得_Prework</vt:lpstr>
      <vt:lpstr>2_作業中_Decide</vt:lpstr>
      <vt:lpstr>3_生成値_Generated</vt:lpstr>
      <vt:lpstr>'1_事前取得_Prework'!Print_Titles</vt:lpstr>
      <vt:lpstr>'2_作業中_Decide'!Print_Titles</vt:lpstr>
      <vt:lpstr>'3_生成値_Generated'!Print_Titles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Private Agent Factory 26.7 Parameter Sheet</dc:title>
  <dc:subject>Bilingual input sheet for the LiveLabs workshop</dc:subject>
  <dc:creator>Private Agent Factory LiveLabs project</dc:creator>
  <cp:lastModifiedBy>Yuji Arakawa</cp:lastModifiedBy>
  <dcterms:created xsi:type="dcterms:W3CDTF">2026-09-28T08:25:12Z</dcterms:created>
  <dcterms:modified xsi:type="dcterms:W3CDTF">2026-10-07T03:28:40Z</dcterms:modified>
</cp:coreProperties>
</file>